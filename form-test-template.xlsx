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Form Map" sheetId="2" state="visible" r:id="rId4"/>
    <sheet name="Test Library" sheetId="3" state="visible" r:id="rId5"/>
    <sheet name="Azure Import" sheetId="4" state="visible" r:id="rId6"/>
    <sheet name="Coverage" sheetId="5" state="visible" r:id="rId7"/>
    <sheet name="Lists" sheetId="6" state="hidden" r:id="rId8"/>
  </sheets>
  <definedNames>
    <definedName function="false" hidden="true" localSheetId="2" name="_xlnm._FilterDatabase" vbProcedure="false">'Test Library'!$A$2:$F$43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<sst xmlns="http://schemas.openxmlformats.org/spreadsheetml/2006/main" count="372" uniqueCount="258">
  <si>
    <t xml:space="preserve">Form Functional Testing Template</t>
  </si>
  <si>
    <t xml:space="preserve">Reusable for any multi-page form. Copy this file for each new form.</t>
  </si>
  <si>
    <t xml:space="preserve">STEP 1 – Map the form  (sheet: Form Map)</t>
  </si>
  <si>
    <t xml:space="preserve">List every field on every page: type, mandatory or optional, rules, valid/invalid examples, conditional logic and expected error message.</t>
  </si>
  <si>
    <t xml:space="preserve">Yellow cells are for you to fill in. Blue text in row 4 is an example row showing the format – overwrite or delete it.</t>
  </si>
  <si>
    <t xml:space="preserve">Tip: ask Claude Code to draft it: "Open [form URL], go through every page without submitting, and fill in the Form Map columns for each field."</t>
  </si>
  <si>
    <t xml:space="preserve">STEP 2 – Pick test cases  (sheet: Test Library)</t>
  </si>
  <si>
    <t xml:space="preserve">The library holds standard tests for each field type plus page-level and form-level tests. For each field in your Form Map, use the rows whose 'Applies to' matches its type and whether it is mandatory.</t>
  </si>
  <si>
    <t xml:space="preserve">Replace the {placeholders} – {Page}, {Field}, {Min}, {Max}, {Valid}, {Invalid}, {Error} – with values from the Form Map.</t>
  </si>
  <si>
    <t xml:space="preserve">STEP 3 – Write the test cases  (sheet: Azure Import)</t>
  </si>
  <si>
    <t xml:space="preserve">Laid out for Azure DevOps Test Plans CSV import: one row starts each test case (Work Item Type + Title); each step goes on its own row below it with the Title left blank.</t>
  </si>
  <si>
    <t xml:space="preserve">Title convention: 'P2 - Postcode - Mandatory'. The 'P2 -' prefix lets the Coverage sheet count tests per page, so keep it.</t>
  </si>
  <si>
    <t xml:space="preserve">To import: save this sheet as CSV (File &gt; Save As &gt; CSV, this sheet only), then in Azure DevOps go to Test Plans &gt; your suite &gt; Import test cases from CSV. Do a small trial import first to confirm the columns match your project.</t>
  </si>
  <si>
    <t xml:space="preserve">Tip: ask Claude Code: "Using the Form Map and Test Library sheets in form-test-template.xlsx, write the Azure Import rows for page 2."</t>
  </si>
  <si>
    <t xml:space="preserve">STEP 4 – Track coverage  (sheet: Coverage)</t>
  </si>
  <si>
    <t xml:space="preserve">Counts fields, mandatory fields and written test cases per page automatically from the other sheets. A page with fields but few tests needs more work.</t>
  </si>
  <si>
    <t xml:space="preserve">Suggested Azure DevOps suite structure</t>
  </si>
  <si>
    <t xml:space="preserve">01 End-to-End  |  02–06 one suite per page  |  07 Navigation  |  08 Conditional logic  |  09 Submission &amp; Errors  |  10 Accessibility</t>
  </si>
  <si>
    <t xml:space="preserve">Create a shared step 'Complete pages 1–N with valid data' and reuse it, and use parameters (@email etc.) for data-driven checks.</t>
  </si>
  <si>
    <t xml:space="preserve">Good practice</t>
  </si>
  <si>
    <t xml:space="preserve">One thing checked per test case  •  Every step has an expected result  •  Test on a test/staging environment, never live  •  Automate stable, repetitive tests in Playwright; keep exploratory and visual checks manual.</t>
  </si>
  <si>
    <t xml:space="preserve">Form Map</t>
  </si>
  <si>
    <t xml:space="preserve">Form name:</t>
  </si>
  <si>
    <t xml:space="preserve">Yellow = fill in.  Blue row 4 = example, replace it.</t>
  </si>
  <si>
    <t xml:space="preserve">Page #</t>
  </si>
  <si>
    <t xml:space="preserve">Page name</t>
  </si>
  <si>
    <t xml:space="preserve">Field name</t>
  </si>
  <si>
    <t xml:space="preserve">Field type</t>
  </si>
  <si>
    <t xml:space="preserve">Mandatory?</t>
  </si>
  <si>
    <t xml:space="preserve">Min</t>
  </si>
  <si>
    <t xml:space="preserve">Max</t>
  </si>
  <si>
    <t xml:space="preserve">Format / rules</t>
  </si>
  <si>
    <t xml:space="preserve">Valid example</t>
  </si>
  <si>
    <t xml:space="preserve">Invalid example</t>
  </si>
  <si>
    <t xml:space="preserve">Expected error message</t>
  </si>
  <si>
    <t xml:space="preserve">Conditional (shown when…)</t>
  </si>
  <si>
    <t xml:space="preserve">Default value</t>
  </si>
  <si>
    <t xml:space="preserve">Notes</t>
  </si>
  <si>
    <t xml:space="preserve">Personal details</t>
  </si>
  <si>
    <t xml:space="preserve">Email</t>
  </si>
  <si>
    <t xml:space="preserve">Yes</t>
  </si>
  <si>
    <t xml:space="preserve">100</t>
  </si>
  <si>
    <t xml:space="preserve">Must contain @ and domain</t>
  </si>
  <si>
    <t xml:space="preserve">test@example.com</t>
  </si>
  <si>
    <t xml:space="preserve">test@</t>
  </si>
  <si>
    <t xml:space="preserve">Enter a valid email address</t>
  </si>
  <si>
    <t xml:space="preserve">Always shown</t>
  </si>
  <si>
    <t xml:space="preserve">(blank)</t>
  </si>
  <si>
    <t xml:space="preserve">Test Library – standard test cases (replace {placeholders})</t>
  </si>
  <si>
    <t xml:space="preserve">Ref</t>
  </si>
  <si>
    <t xml:space="preserve">Applies to</t>
  </si>
  <si>
    <t xml:space="preserve">Category</t>
  </si>
  <si>
    <t xml:space="preserve">Title pattern</t>
  </si>
  <si>
    <t xml:space="preserve">Steps (Action → Expected)</t>
  </si>
  <si>
    <t xml:space="preserve">Priority</t>
  </si>
  <si>
    <t xml:space="preserve">M-01</t>
  </si>
  <si>
    <t xml:space="preserve">Any mandatory field</t>
  </si>
  <si>
    <t xml:space="preserve">Mandatory</t>
  </si>
  <si>
    <t xml:space="preserve">P{Page} - {Field} - Mandatory</t>
  </si>
  <si>
    <t xml:space="preserve">1. Complete earlier pages with valid data → Page {Page} shown
2. Fill all fields on page except {Field} → –
3. Click Next → Stays on page; '{Error}' shown under {Field}; no other errors
4. Enter {Valid} in {Field}, click Next → Error clears; next page shown</t>
  </si>
  <si>
    <t xml:space="preserve">1 - Critical</t>
  </si>
  <si>
    <t xml:space="preserve">M-02</t>
  </si>
  <si>
    <t xml:space="preserve">P{Page} - {Field} - Spaces only rejected</t>
  </si>
  <si>
    <t xml:space="preserve">1. Enter only spaces in {Field}, fill others validly → –
2. Click Next → Treated as empty; required error shown</t>
  </si>
  <si>
    <t xml:space="preserve">2 - High</t>
  </si>
  <si>
    <t xml:space="preserve">M-03</t>
  </si>
  <si>
    <t xml:space="preserve">P{Page} - {Field} - Marked as required</t>
  </si>
  <si>
    <t xml:space="preserve">1. Open page {Page} → {Field} label shows required indicator (e.g. *)</t>
  </si>
  <si>
    <t xml:space="preserve">3 - Medium</t>
  </si>
  <si>
    <t xml:space="preserve">O-01</t>
  </si>
  <si>
    <t xml:space="preserve">Any optional field</t>
  </si>
  <si>
    <t xml:space="preserve">Optional</t>
  </si>
  <si>
    <t xml:space="preserve">P{Page} - {Field} - Optional can be blank</t>
  </si>
  <si>
    <t xml:space="preserve">1. Fill all mandatory fields, leave {Field} blank → –
2. Click Next → Proceeds to next page with no error</t>
  </si>
  <si>
    <t xml:space="preserve">O-02</t>
  </si>
  <si>
    <t xml:space="preserve">P{Page} - {Field} - Optional value saved</t>
  </si>
  <si>
    <t xml:space="preserve">1. Enter {Valid} in {Field}, complete form → –
2. Check review page / submitted data → {Valid} shown correctly</t>
  </si>
  <si>
    <t xml:space="preserve">T-01</t>
  </si>
  <si>
    <t xml:space="preserve">Text / Textarea</t>
  </si>
  <si>
    <t xml:space="preserve">Length</t>
  </si>
  <si>
    <t xml:space="preserve">P{Page} - {Field} - Max length {Max}</t>
  </si>
  <si>
    <t xml:space="preserve">1. Enter exactly {Max} characters → Accepted
2. Enter {Max}+1 characters → Blocked at {Max} OR error '{Error}' shown</t>
  </si>
  <si>
    <t xml:space="preserve">T-02</t>
  </si>
  <si>
    <t xml:space="preserve">P{Page} - {Field} - Min length {Min}</t>
  </si>
  <si>
    <t xml:space="preserve">1. Enter {Min}-1 characters, click Next → Error shown
2. Enter {Min} characters, click Next → Accepted</t>
  </si>
  <si>
    <t xml:space="preserve">T-03</t>
  </si>
  <si>
    <t xml:space="preserve">Characters</t>
  </si>
  <si>
    <t xml:space="preserve">P{Page} - {Field} - Special characters</t>
  </si>
  <si>
    <t xml:space="preserve">1. Enter text with apostrophe, hyphen, accents (e.g. O'Brien-Zoë) → Accepted and displayed correctly on review page</t>
  </si>
  <si>
    <t xml:space="preserve">T-04</t>
  </si>
  <si>
    <t xml:space="preserve">Security</t>
  </si>
  <si>
    <t xml:space="preserve">P{Page} - {Field} - Script/HTML not executed</t>
  </si>
  <si>
    <t xml:space="preserve">1. Enter &lt;b&gt;test&lt;/b&gt; or &lt;script&gt;alert(1)&lt;/script&gt; → Shown as plain text or rejected; nothing executes</t>
  </si>
  <si>
    <t xml:space="preserve">T-05</t>
  </si>
  <si>
    <t xml:space="preserve">P{Page} - {Field} - Leading/trailing spaces trimmed</t>
  </si>
  <si>
    <t xml:space="preserve">1. Enter '  value  ' → Saved as 'value' (or per requirement)</t>
  </si>
  <si>
    <t xml:space="preserve">4 - Low</t>
  </si>
  <si>
    <t xml:space="preserve">N-01</t>
  </si>
  <si>
    <t xml:space="preserve">Number</t>
  </si>
  <si>
    <t xml:space="preserve">Boundary</t>
  </si>
  <si>
    <t xml:space="preserve">P{Page} - {Field} - Range {Min} to {Max}</t>
  </si>
  <si>
    <t xml:space="preserve">1. Enter {Min} → Accepted
2. Enter {Max} → Accepted
3. Enter {Min}-1 → Error '{Error}'
4. Enter {Max}+1 → Error '{Error}'</t>
  </si>
  <si>
    <t xml:space="preserve">N-02</t>
  </si>
  <si>
    <t xml:space="preserve">Format</t>
  </si>
  <si>
    <t xml:space="preserve">P{Page} - {Field} - Non-numeric rejected</t>
  </si>
  <si>
    <t xml:space="preserve">1. Enter 'abc' → Blocked or error shown
2. Enter decimal / negative (if not allowed) → Error shown</t>
  </si>
  <si>
    <t xml:space="preserve">E-01</t>
  </si>
  <si>
    <t xml:space="preserve">P{Page} - {Field} - Valid formats accepted</t>
  </si>
  <si>
    <t xml:space="preserve">1. Enter test@example.com → Accepted
2. Enter first.last+tag@sub.example.com.au → Accepted</t>
  </si>
  <si>
    <t xml:space="preserve">E-02</t>
  </si>
  <si>
    <t xml:space="preserve">P{Page} - {Field} - Invalid formats rejected</t>
  </si>
  <si>
    <t xml:space="preserve">1. Enter 'test@' → Error '{Error}'
2. Enter 'test.example.com' → Error
3. Enter 'test@@example.com' → Error</t>
  </si>
  <si>
    <t xml:space="preserve">PH-01</t>
  </si>
  <si>
    <t xml:space="preserve">Phone</t>
  </si>
  <si>
    <t xml:space="preserve">P{Page} - {Field} - Valid phone formats</t>
  </si>
  <si>
    <t xml:space="preserve">1. Enter mobile (e.g. 0412 345 678) → Accepted
2. Enter landline / international (+61) if allowed → Accepted</t>
  </si>
  <si>
    <t xml:space="preserve">PH-02</t>
  </si>
  <si>
    <t xml:space="preserve">P{Page} - {Field} - Invalid phone rejected</t>
  </si>
  <si>
    <t xml:space="preserve">1. Enter letters → Error
2. Enter too few / too many digits → Error '{Error}'</t>
  </si>
  <si>
    <t xml:space="preserve">D-01</t>
  </si>
  <si>
    <t xml:space="preserve">Date</t>
  </si>
  <si>
    <t xml:space="preserve">P{Page} - {Field} - Date limits</t>
  </si>
  <si>
    <t xml:space="preserve">1. Enter earliest allowed date ({Min}) → Accepted
2. Enter latest allowed ({Max}) → Accepted
3. Enter day outside limits → Error '{Error}'</t>
  </si>
  <si>
    <t xml:space="preserve">D-02</t>
  </si>
  <si>
    <t xml:space="preserve">P{Page} - {Field} - Invalid dates rejected</t>
  </si>
  <si>
    <t xml:space="preserve">1. Enter 31/02/2025 → Error
2. Enter 29/02 in leap year → Accepted; non-leap → Error
3. Typed vs date-picker entry both work</t>
  </si>
  <si>
    <t xml:space="preserve">PC-01</t>
  </si>
  <si>
    <t xml:space="preserve">Postcode</t>
  </si>
  <si>
    <t xml:space="preserve">P{Page} - {Field} - Postcode format</t>
  </si>
  <si>
    <t xml:space="preserve">1. Enter valid postcode ({Valid}) → Accepted
2. Enter 3 digits / 5 digits / letters → Error '{Error}'</t>
  </si>
  <si>
    <t xml:space="preserve">S-01</t>
  </si>
  <si>
    <t xml:space="preserve">Dropdown / Radio</t>
  </si>
  <si>
    <t xml:space="preserve">Selection</t>
  </si>
  <si>
    <t xml:space="preserve">P{Page} - {Field} - Every option selectable</t>
  </si>
  <si>
    <t xml:space="preserve">1. Select each option in turn → Each is selected and saved; shown on review page</t>
  </si>
  <si>
    <t xml:space="preserve">S-02</t>
  </si>
  <si>
    <t xml:space="preserve">P{Page} - {Field} - Default value</t>
  </si>
  <si>
    <t xml:space="preserve">1. Open page {Page} → Default is '{Default}' (or 'Please select' if mandatory with no default)</t>
  </si>
  <si>
    <t xml:space="preserve">S-03</t>
  </si>
  <si>
    <t xml:space="preserve">Dropdown</t>
  </si>
  <si>
    <t xml:space="preserve">P{Page} - {Field} - Placeholder not accepted</t>
  </si>
  <si>
    <t xml:space="preserve">1. Leave 'Please select' chosen, click Next → Required error shown</t>
  </si>
  <si>
    <t xml:space="preserve">C-01</t>
  </si>
  <si>
    <t xml:space="preserve">Checkbox</t>
  </si>
  <si>
    <t xml:space="preserve">P{Page} - {Field} - Checked / unchecked</t>
  </si>
  <si>
    <t xml:space="preserve">1. Check box, continue → Saved as checked
2. Uncheck, continue → Saved as unchecked (or error if mandatory, e.g. T&amp;Cs)</t>
  </si>
  <si>
    <t xml:space="preserve">F-01</t>
  </si>
  <si>
    <t xml:space="preserve">File upload</t>
  </si>
  <si>
    <t xml:space="preserve">Upload</t>
  </si>
  <si>
    <t xml:space="preserve">P{Page} - {Field} - Allowed file types</t>
  </si>
  <si>
    <t xml:space="preserve">1. Upload allowed type ({Valid}) → Accepted, filename shown
2. Upload disallowed type ({Invalid}) → Error '{Error}'</t>
  </si>
  <si>
    <t xml:space="preserve">F-02</t>
  </si>
  <si>
    <t xml:space="preserve">P{Page} - {Field} - File size limit</t>
  </si>
  <si>
    <t xml:space="preserve">1. Upload file just under {Max} → Accepted
2. Upload file over {Max} → Error
3. Remove uploaded file → File removed</t>
  </si>
  <si>
    <t xml:space="preserve">PW-01</t>
  </si>
  <si>
    <t xml:space="preserve">Password</t>
  </si>
  <si>
    <t xml:space="preserve">P{Page} - {Field} - Masked and rules enforced</t>
  </si>
  <si>
    <t xml:space="preserve">1. Type password → Characters masked
2. Enter password breaking each rule → Specific error shown</t>
  </si>
  <si>
    <t xml:space="preserve">CL-01</t>
  </si>
  <si>
    <t xml:space="preserve">Conditional field</t>
  </si>
  <si>
    <t xml:space="preserve">Conditional</t>
  </si>
  <si>
    <t xml:space="preserve">P{Page} - {Field} - Shown when condition met</t>
  </si>
  <si>
    <t xml:space="preserve">1. Make selection that triggers {Field} → {Field} appears
2. If mandatory, leave blank and click Next → Required error</t>
  </si>
  <si>
    <t xml:space="preserve">CL-02</t>
  </si>
  <si>
    <t xml:space="preserve">P{Page} - {Field} - Hidden and cleared when not met</t>
  </si>
  <si>
    <t xml:space="preserve">1. Trigger {Field}, enter value → –
2. Change selection so {Field} hides → {Field} hidden
3. Submit → Hidden value NOT submitted</t>
  </si>
  <si>
    <t xml:space="preserve">PG-01</t>
  </si>
  <si>
    <t xml:space="preserve">Every page</t>
  </si>
  <si>
    <t xml:space="preserve">Page</t>
  </si>
  <si>
    <t xml:space="preserve">P{Page} - Next with empty page</t>
  </si>
  <si>
    <t xml:space="preserve">1. Open page {Page}, click Next with nothing filled → All mandatory errors shown; stays on page; optional fields show no error</t>
  </si>
  <si>
    <t xml:space="preserve">PG-02</t>
  </si>
  <si>
    <t xml:space="preserve">Navigation</t>
  </si>
  <si>
    <t xml:space="preserve">P{Page} - Back keeps entered data</t>
  </si>
  <si>
    <t xml:space="preserve">1. Fill page {Page}, click Next → Next page
2. Click Back → All page {Page} values still filled in</t>
  </si>
  <si>
    <t xml:space="preserve">PG-03</t>
  </si>
  <si>
    <t xml:space="preserve">P{Page} - Refresh behaviour</t>
  </si>
  <si>
    <t xml:space="preserve">1. Fill page {Page}, refresh browser → Data kept or reset as per requirement; no crash</t>
  </si>
  <si>
    <t xml:space="preserve">PG-04</t>
  </si>
  <si>
    <t xml:space="preserve">Accessibility</t>
  </si>
  <si>
    <t xml:space="preserve">P{Page} - Keyboard only</t>
  </si>
  <si>
    <t xml:space="preserve">1. Complete page using Tab, Shift+Tab, Space, Enter only → Logical tab order; every field reachable; focus visible</t>
  </si>
  <si>
    <t xml:space="preserve">PG-05</t>
  </si>
  <si>
    <t xml:space="preserve">Errors</t>
  </si>
  <si>
    <t xml:space="preserve">P{Page} - Error messages clear</t>
  </si>
  <si>
    <t xml:space="preserve">1. Trigger errors → Each error next to its field, clearly worded; focus moves to first error; errors clear when fixed</t>
  </si>
  <si>
    <t xml:space="preserve">FM-01</t>
  </si>
  <si>
    <t xml:space="preserve">Whole form</t>
  </si>
  <si>
    <t xml:space="preserve">End-to-end</t>
  </si>
  <si>
    <t xml:space="preserve">P0 - Happy path - Mandatory fields only</t>
  </si>
  <si>
    <t xml:space="preserve">1. Complete all pages with mandatory fields only → Each page proceeds
2. Submit → Success/confirmation shown
3. Check stored data / email → Matches entered values</t>
  </si>
  <si>
    <t xml:space="preserve">FM-02</t>
  </si>
  <si>
    <t xml:space="preserve">P0 - Happy path - All fields</t>
  </si>
  <si>
    <t xml:space="preserve">1. Complete all pages filling every field → –
2. Submit → Success; all values (incl. optional) saved correctly</t>
  </si>
  <si>
    <t xml:space="preserve">FM-03</t>
  </si>
  <si>
    <t xml:space="preserve">P0 - Edit from review page</t>
  </si>
  <si>
    <t xml:space="preserve">1. Reach review page, click Edit for page 2 → Page 2 opens with values
2. Change a value, return → Review shows updated value</t>
  </si>
  <si>
    <t xml:space="preserve">FM-04</t>
  </si>
  <si>
    <t xml:space="preserve">P0 - Cannot skip pages via URL</t>
  </si>
  <si>
    <t xml:space="preserve">1. Open page 4 URL directly without completing pages 1–3 → Redirected to start or blocked</t>
  </si>
  <si>
    <t xml:space="preserve">FM-05</t>
  </si>
  <si>
    <t xml:space="preserve">Submission</t>
  </si>
  <si>
    <t xml:space="preserve">P0 - Double submit prevented</t>
  </si>
  <si>
    <t xml:space="preserve">1. Double-click Submit quickly → Only one submission created; button disabled while sending</t>
  </si>
  <si>
    <t xml:space="preserve">FM-06</t>
  </si>
  <si>
    <t xml:space="preserve">P0 - Server error handled</t>
  </si>
  <si>
    <t xml:space="preserve">1. Submit when server/API fails (test env) → Friendly error shown; data not lost; can retry</t>
  </si>
  <si>
    <t xml:space="preserve">FM-07</t>
  </si>
  <si>
    <t xml:space="preserve">Session</t>
  </si>
  <si>
    <t xml:space="preserve">P0 - Session timeout</t>
  </si>
  <si>
    <t xml:space="preserve">1. Leave form idle past timeout, then continue → Warned or handled gracefully per requirement</t>
  </si>
  <si>
    <t xml:space="preserve">FM-08</t>
  </si>
  <si>
    <t xml:space="preserve">Compatibility</t>
  </si>
  <si>
    <t xml:space="preserve">P0 - Browsers and mobile</t>
  </si>
  <si>
    <t xml:space="preserve">1. Run FM-01 on Chrome, Edge, Safari and a mobile screen → Works and displays correctly on each</t>
  </si>
  <si>
    <t xml:space="preserve">ID</t>
  </si>
  <si>
    <t xml:space="preserve">Work Item Type</t>
  </si>
  <si>
    <t xml:space="preserve">Title</t>
  </si>
  <si>
    <t xml:space="preserve">Test Step</t>
  </si>
  <si>
    <t xml:space="preserve">Step Action</t>
  </si>
  <si>
    <t xml:space="preserve">Step Expected</t>
  </si>
  <si>
    <t xml:space="preserve">Area Path</t>
  </si>
  <si>
    <t xml:space="preserve">Assigned To</t>
  </si>
  <si>
    <t xml:space="preserve">State</t>
  </si>
  <si>
    <t xml:space="preserve">Test Case</t>
  </si>
  <si>
    <t xml:space="preserve">P1 - Email - Mandatory</t>
  </si>
  <si>
    <t xml:space="preserve">Design</t>
  </si>
  <si>
    <t xml:space="preserve">1</t>
  </si>
  <si>
    <t xml:space="preserve">Complete earlier pages with valid data</t>
  </si>
  <si>
    <t xml:space="preserve">Page 1 is shown</t>
  </si>
  <si>
    <t xml:space="preserve">2</t>
  </si>
  <si>
    <t xml:space="preserve">Fill all page 1 fields except Email</t>
  </si>
  <si>
    <t xml:space="preserve">3</t>
  </si>
  <si>
    <t xml:space="preserve">Click Next</t>
  </si>
  <si>
    <t xml:space="preserve">Stays on page 1; 'Email is required' shown under Email; no other errors</t>
  </si>
  <si>
    <t xml:space="preserve">4</t>
  </si>
  <si>
    <t xml:space="preserve">Enter test@example.com in Email and click Next</t>
  </si>
  <si>
    <t xml:space="preserve">Error clears; page 2 is shown</t>
  </si>
  <si>
    <t xml:space="preserve">P1 - Email - Invalid formats rejected</t>
  </si>
  <si>
    <t xml:space="preserve">Enter 'test@' in Email and click Next</t>
  </si>
  <si>
    <t xml:space="preserve">'Enter a valid email address' shown</t>
  </si>
  <si>
    <t xml:space="preserve">Enter 'test.example.com' and click Next</t>
  </si>
  <si>
    <t xml:space="preserve">Same error shown</t>
  </si>
  <si>
    <t xml:space="preserve">Enter 'test@@example.com' and click Next</t>
  </si>
  <si>
    <t xml:space="preserve">Coverage by Page</t>
  </si>
  <si>
    <t xml:space="preserve">Calculated automatically from Form Map and Azure Import (titles starting 'P1 -', 'P2 -' …; 'P0 -' = whole form).</t>
  </si>
  <si>
    <t xml:space="preserve">Fields</t>
  </si>
  <si>
    <t xml:space="preserve">Test cases written</t>
  </si>
  <si>
    <t xml:space="preserve">Tests per field</t>
  </si>
  <si>
    <t xml:space="preserve">Status</t>
  </si>
  <si>
    <t xml:space="preserve">0 (Form)</t>
  </si>
  <si>
    <t xml:space="preserve">-</t>
  </si>
  <si>
    <t xml:space="preserve">Total</t>
  </si>
  <si>
    <t xml:space="preserve">Status rule: a page is flagged 'Needs more tests' when test cases &lt; fields + mandatory fields (a rough guide: about one test per field plus one mandatory check each).</t>
  </si>
  <si>
    <t xml:space="preserve">Text</t>
  </si>
  <si>
    <t xml:space="preserve">Textarea</t>
  </si>
  <si>
    <t xml:space="preserve">No</t>
  </si>
  <si>
    <t xml:space="preserve">Radio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</si>
</sst>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23.8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6</v>
      </c>
    </row>
    <row r="11" customFormat="false" ht="23.8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23.8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23.8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3" t="s">
        <v>14</v>
      </c>
    </row>
    <row r="21" customFormat="false" ht="23.8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19</v>
      </c>
    </row>
    <row r="28" customFormat="false" ht="23.85" hidden="false" customHeight="false" outlineLevel="0" collapsed="false">
      <c r="B28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7"/>
    <col collapsed="false" customWidth="true" hidden="false" outlineLevel="0" max="8" min="8" style="0" width="26"/>
    <col collapsed="false" customWidth="true" hidden="false" outlineLevel="0" max="10" min="9" style="0" width="18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4" t="s">
        <v>22</v>
      </c>
      <c r="B2" s="5"/>
      <c r="D2" s="6" t="s">
        <v>23</v>
      </c>
    </row>
    <row r="3" customFormat="false" ht="23.85" hidden="false" customHeight="false" outlineLevel="0" collapsed="false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</row>
    <row r="4" customFormat="false" ht="15" hidden="false" customHeight="false" outlineLevel="0" collapsed="false">
      <c r="A4" s="8" t="n">
        <v>1</v>
      </c>
      <c r="B4" s="8" t="s">
        <v>38</v>
      </c>
      <c r="C4" s="8" t="s">
        <v>39</v>
      </c>
      <c r="D4" s="8" t="s">
        <v>39</v>
      </c>
      <c r="E4" s="8" t="s">
        <v>40</v>
      </c>
      <c r="F4" s="8"/>
      <c r="G4" s="8" t="s">
        <v>41</v>
      </c>
      <c r="H4" s="8" t="s">
        <v>42</v>
      </c>
      <c r="I4" s="8" t="s">
        <v>43</v>
      </c>
      <c r="J4" s="8" t="s">
        <v>44</v>
      </c>
      <c r="K4" s="8" t="s">
        <v>45</v>
      </c>
      <c r="L4" s="8" t="s">
        <v>46</v>
      </c>
      <c r="M4" s="8" t="s">
        <v>47</v>
      </c>
      <c r="N4" s="8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</sheetData>
  <dataValidations count="3">
    <dataValidation allowBlank="true" errorStyle="stop" operator="between" showDropDown="false" showErrorMessage="false" showInputMessage="false" sqref="D4:D103" type="list">
      <formula1>Lists!$A$1:$A$12</formula1>
      <formula2>0</formula2>
    </dataValidation>
    <dataValidation allowBlank="true" errorStyle="stop" operator="between" showDropDown="false" showErrorMessage="false" showInputMessage="false" sqref="E4:E103" type="list">
      <formula1>Lists!$B$1:$B$2</formula1>
      <formula2>0</formula2>
    </dataValidation>
    <dataValidation allowBlank="true" errorStyle="stop" operator="between" showDropDown="false" showErrorMessage="false" showInputMessage="false" sqref="A4:A103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8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</row>
    <row r="3" customFormat="false" ht="46.25" hidden="false" customHeight="false" outlineLevel="0" collapsed="false">
      <c r="A3" s="10" t="s">
        <v>55</v>
      </c>
      <c r="B3" s="10" t="s">
        <v>56</v>
      </c>
      <c r="C3" s="10" t="s">
        <v>57</v>
      </c>
      <c r="D3" s="10" t="s">
        <v>58</v>
      </c>
      <c r="E3" s="10" t="s">
        <v>59</v>
      </c>
      <c r="F3" s="10" t="s">
        <v>60</v>
      </c>
    </row>
    <row r="4" customFormat="false" ht="23.85" hidden="false" customHeight="false" outlineLevel="0" collapsed="false">
      <c r="A4" s="10" t="s">
        <v>61</v>
      </c>
      <c r="B4" s="10" t="s">
        <v>56</v>
      </c>
      <c r="C4" s="10" t="s">
        <v>57</v>
      </c>
      <c r="D4" s="10" t="s">
        <v>62</v>
      </c>
      <c r="E4" s="10" t="s">
        <v>63</v>
      </c>
      <c r="F4" s="10" t="s">
        <v>64</v>
      </c>
    </row>
    <row r="5" customFormat="false" ht="15" hidden="false" customHeight="false" outlineLevel="0" collapsed="false">
      <c r="A5" s="10" t="s">
        <v>65</v>
      </c>
      <c r="B5" s="10" t="s">
        <v>56</v>
      </c>
      <c r="C5" s="10" t="s">
        <v>57</v>
      </c>
      <c r="D5" s="10" t="s">
        <v>66</v>
      </c>
      <c r="E5" s="10" t="s">
        <v>67</v>
      </c>
      <c r="F5" s="10" t="s">
        <v>68</v>
      </c>
    </row>
    <row r="6" customFormat="false" ht="23.85" hidden="false" customHeight="false" outlineLevel="0" collapsed="false">
      <c r="A6" s="10" t="s">
        <v>69</v>
      </c>
      <c r="B6" s="10" t="s">
        <v>70</v>
      </c>
      <c r="C6" s="10" t="s">
        <v>71</v>
      </c>
      <c r="D6" s="10" t="s">
        <v>72</v>
      </c>
      <c r="E6" s="10" t="s">
        <v>73</v>
      </c>
      <c r="F6" s="10" t="s">
        <v>64</v>
      </c>
    </row>
    <row r="7" customFormat="false" ht="23.85" hidden="false" customHeight="false" outlineLevel="0" collapsed="false">
      <c r="A7" s="10" t="s">
        <v>74</v>
      </c>
      <c r="B7" s="10" t="s">
        <v>70</v>
      </c>
      <c r="C7" s="10" t="s">
        <v>71</v>
      </c>
      <c r="D7" s="10" t="s">
        <v>75</v>
      </c>
      <c r="E7" s="10" t="s">
        <v>76</v>
      </c>
      <c r="F7" s="10" t="s">
        <v>64</v>
      </c>
    </row>
    <row r="8" customFormat="false" ht="23.85" hidden="false" customHeight="false" outlineLevel="0" collapsed="false">
      <c r="A8" s="10" t="s">
        <v>77</v>
      </c>
      <c r="B8" s="10" t="s">
        <v>78</v>
      </c>
      <c r="C8" s="10" t="s">
        <v>79</v>
      </c>
      <c r="D8" s="10" t="s">
        <v>80</v>
      </c>
      <c r="E8" s="10" t="s">
        <v>81</v>
      </c>
      <c r="F8" s="10" t="s">
        <v>64</v>
      </c>
    </row>
    <row r="9" customFormat="false" ht="23.85" hidden="false" customHeight="false" outlineLevel="0" collapsed="false">
      <c r="A9" s="10" t="s">
        <v>82</v>
      </c>
      <c r="B9" s="10" t="s">
        <v>78</v>
      </c>
      <c r="C9" s="10" t="s">
        <v>79</v>
      </c>
      <c r="D9" s="10" t="s">
        <v>83</v>
      </c>
      <c r="E9" s="10" t="s">
        <v>84</v>
      </c>
      <c r="F9" s="10" t="s">
        <v>64</v>
      </c>
    </row>
    <row r="10" customFormat="false" ht="23.85" hidden="false" customHeight="false" outlineLevel="0" collapsed="false">
      <c r="A10" s="10" t="s">
        <v>85</v>
      </c>
      <c r="B10" s="10" t="s">
        <v>78</v>
      </c>
      <c r="C10" s="10" t="s">
        <v>86</v>
      </c>
      <c r="D10" s="10" t="s">
        <v>87</v>
      </c>
      <c r="E10" s="10" t="s">
        <v>88</v>
      </c>
      <c r="F10" s="10" t="s">
        <v>68</v>
      </c>
    </row>
    <row r="11" customFormat="false" ht="23.85" hidden="false" customHeight="false" outlineLevel="0" collapsed="false">
      <c r="A11" s="10" t="s">
        <v>89</v>
      </c>
      <c r="B11" s="10" t="s">
        <v>78</v>
      </c>
      <c r="C11" s="10" t="s">
        <v>90</v>
      </c>
      <c r="D11" s="10" t="s">
        <v>91</v>
      </c>
      <c r="E11" s="10" t="s">
        <v>92</v>
      </c>
      <c r="F11" s="10" t="s">
        <v>64</v>
      </c>
    </row>
    <row r="12" customFormat="false" ht="23.85" hidden="false" customHeight="false" outlineLevel="0" collapsed="false">
      <c r="A12" s="10" t="s">
        <v>93</v>
      </c>
      <c r="B12" s="10" t="s">
        <v>78</v>
      </c>
      <c r="C12" s="10" t="s">
        <v>86</v>
      </c>
      <c r="D12" s="10" t="s">
        <v>94</v>
      </c>
      <c r="E12" s="10" t="s">
        <v>95</v>
      </c>
      <c r="F12" s="10" t="s">
        <v>96</v>
      </c>
    </row>
    <row r="13" customFormat="false" ht="46.25" hidden="false" customHeight="false" outlineLevel="0" collapsed="false">
      <c r="A13" s="10" t="s">
        <v>97</v>
      </c>
      <c r="B13" s="10" t="s">
        <v>98</v>
      </c>
      <c r="C13" s="10" t="s">
        <v>99</v>
      </c>
      <c r="D13" s="10" t="s">
        <v>100</v>
      </c>
      <c r="E13" s="10" t="s">
        <v>101</v>
      </c>
      <c r="F13" s="10" t="s">
        <v>60</v>
      </c>
    </row>
    <row r="14" customFormat="false" ht="23.85" hidden="false" customHeight="false" outlineLevel="0" collapsed="false">
      <c r="A14" s="10" t="s">
        <v>102</v>
      </c>
      <c r="B14" s="10" t="s">
        <v>98</v>
      </c>
      <c r="C14" s="10" t="s">
        <v>103</v>
      </c>
      <c r="D14" s="10" t="s">
        <v>104</v>
      </c>
      <c r="E14" s="10" t="s">
        <v>105</v>
      </c>
      <c r="F14" s="10" t="s">
        <v>64</v>
      </c>
    </row>
    <row r="15" customFormat="false" ht="23.85" hidden="false" customHeight="false" outlineLevel="0" collapsed="false">
      <c r="A15" s="10" t="s">
        <v>106</v>
      </c>
      <c r="B15" s="10" t="s">
        <v>39</v>
      </c>
      <c r="C15" s="10" t="s">
        <v>103</v>
      </c>
      <c r="D15" s="10" t="s">
        <v>107</v>
      </c>
      <c r="E15" s="10" t="s">
        <v>108</v>
      </c>
      <c r="F15" s="10" t="s">
        <v>60</v>
      </c>
    </row>
    <row r="16" customFormat="false" ht="35.05" hidden="false" customHeight="false" outlineLevel="0" collapsed="false">
      <c r="A16" s="10" t="s">
        <v>109</v>
      </c>
      <c r="B16" s="10" t="s">
        <v>39</v>
      </c>
      <c r="C16" s="10" t="s">
        <v>103</v>
      </c>
      <c r="D16" s="10" t="s">
        <v>110</v>
      </c>
      <c r="E16" s="10" t="s">
        <v>111</v>
      </c>
      <c r="F16" s="10" t="s">
        <v>60</v>
      </c>
    </row>
    <row r="17" customFormat="false" ht="23.85" hidden="false" customHeight="false" outlineLevel="0" collapsed="false">
      <c r="A17" s="10" t="s">
        <v>112</v>
      </c>
      <c r="B17" s="10" t="s">
        <v>113</v>
      </c>
      <c r="C17" s="10" t="s">
        <v>103</v>
      </c>
      <c r="D17" s="10" t="s">
        <v>114</v>
      </c>
      <c r="E17" s="10" t="s">
        <v>115</v>
      </c>
      <c r="F17" s="10" t="s">
        <v>64</v>
      </c>
    </row>
    <row r="18" customFormat="false" ht="23.85" hidden="false" customHeight="false" outlineLevel="0" collapsed="false">
      <c r="A18" s="10" t="s">
        <v>116</v>
      </c>
      <c r="B18" s="10" t="s">
        <v>113</v>
      </c>
      <c r="C18" s="10" t="s">
        <v>103</v>
      </c>
      <c r="D18" s="10" t="s">
        <v>117</v>
      </c>
      <c r="E18" s="10" t="s">
        <v>118</v>
      </c>
      <c r="F18" s="10" t="s">
        <v>64</v>
      </c>
    </row>
    <row r="19" customFormat="false" ht="35.05" hidden="false" customHeight="false" outlineLevel="0" collapsed="false">
      <c r="A19" s="10" t="s">
        <v>119</v>
      </c>
      <c r="B19" s="10" t="s">
        <v>120</v>
      </c>
      <c r="C19" s="10" t="s">
        <v>99</v>
      </c>
      <c r="D19" s="10" t="s">
        <v>121</v>
      </c>
      <c r="E19" s="10" t="s">
        <v>122</v>
      </c>
      <c r="F19" s="10" t="s">
        <v>60</v>
      </c>
    </row>
    <row r="20" customFormat="false" ht="35.05" hidden="false" customHeight="false" outlineLevel="0" collapsed="false">
      <c r="A20" s="10" t="s">
        <v>123</v>
      </c>
      <c r="B20" s="10" t="s">
        <v>120</v>
      </c>
      <c r="C20" s="10" t="s">
        <v>103</v>
      </c>
      <c r="D20" s="10" t="s">
        <v>124</v>
      </c>
      <c r="E20" s="10" t="s">
        <v>125</v>
      </c>
      <c r="F20" s="10" t="s">
        <v>64</v>
      </c>
    </row>
    <row r="21" customFormat="false" ht="23.85" hidden="false" customHeight="false" outlineLevel="0" collapsed="false">
      <c r="A21" s="10" t="s">
        <v>126</v>
      </c>
      <c r="B21" s="10" t="s">
        <v>127</v>
      </c>
      <c r="C21" s="10" t="s">
        <v>103</v>
      </c>
      <c r="D21" s="10" t="s">
        <v>128</v>
      </c>
      <c r="E21" s="10" t="s">
        <v>129</v>
      </c>
      <c r="F21" s="10" t="s">
        <v>64</v>
      </c>
    </row>
    <row r="22" customFormat="false" ht="15" hidden="false" customHeight="false" outlineLevel="0" collapsed="false">
      <c r="A22" s="10" t="s">
        <v>130</v>
      </c>
      <c r="B22" s="10" t="s">
        <v>131</v>
      </c>
      <c r="C22" s="10" t="s">
        <v>132</v>
      </c>
      <c r="D22" s="10" t="s">
        <v>133</v>
      </c>
      <c r="E22" s="10" t="s">
        <v>134</v>
      </c>
      <c r="F22" s="10" t="s">
        <v>64</v>
      </c>
    </row>
    <row r="23" customFormat="false" ht="15" hidden="false" customHeight="false" outlineLevel="0" collapsed="false">
      <c r="A23" s="10" t="s">
        <v>135</v>
      </c>
      <c r="B23" s="10" t="s">
        <v>131</v>
      </c>
      <c r="C23" s="10" t="s">
        <v>132</v>
      </c>
      <c r="D23" s="10" t="s">
        <v>136</v>
      </c>
      <c r="E23" s="10" t="s">
        <v>137</v>
      </c>
      <c r="F23" s="10" t="s">
        <v>68</v>
      </c>
    </row>
    <row r="24" customFormat="false" ht="15" hidden="false" customHeight="false" outlineLevel="0" collapsed="false">
      <c r="A24" s="10" t="s">
        <v>138</v>
      </c>
      <c r="B24" s="10" t="s">
        <v>139</v>
      </c>
      <c r="C24" s="10" t="s">
        <v>132</v>
      </c>
      <c r="D24" s="10" t="s">
        <v>140</v>
      </c>
      <c r="E24" s="10" t="s">
        <v>141</v>
      </c>
      <c r="F24" s="10" t="s">
        <v>60</v>
      </c>
    </row>
    <row r="25" customFormat="false" ht="23.85" hidden="false" customHeight="false" outlineLevel="0" collapsed="false">
      <c r="A25" s="10" t="s">
        <v>142</v>
      </c>
      <c r="B25" s="10" t="s">
        <v>143</v>
      </c>
      <c r="C25" s="10" t="s">
        <v>132</v>
      </c>
      <c r="D25" s="10" t="s">
        <v>144</v>
      </c>
      <c r="E25" s="10" t="s">
        <v>145</v>
      </c>
      <c r="F25" s="10" t="s">
        <v>64</v>
      </c>
    </row>
    <row r="26" customFormat="false" ht="23.85" hidden="false" customHeight="false" outlineLevel="0" collapsed="false">
      <c r="A26" s="10" t="s">
        <v>146</v>
      </c>
      <c r="B26" s="10" t="s">
        <v>147</v>
      </c>
      <c r="C26" s="10" t="s">
        <v>148</v>
      </c>
      <c r="D26" s="10" t="s">
        <v>149</v>
      </c>
      <c r="E26" s="10" t="s">
        <v>150</v>
      </c>
      <c r="F26" s="10" t="s">
        <v>60</v>
      </c>
    </row>
    <row r="27" customFormat="false" ht="35.05" hidden="false" customHeight="false" outlineLevel="0" collapsed="false">
      <c r="A27" s="10" t="s">
        <v>151</v>
      </c>
      <c r="B27" s="10" t="s">
        <v>147</v>
      </c>
      <c r="C27" s="10" t="s">
        <v>148</v>
      </c>
      <c r="D27" s="10" t="s">
        <v>152</v>
      </c>
      <c r="E27" s="10" t="s">
        <v>153</v>
      </c>
      <c r="F27" s="10" t="s">
        <v>64</v>
      </c>
    </row>
    <row r="28" customFormat="false" ht="23.85" hidden="false" customHeight="false" outlineLevel="0" collapsed="false">
      <c r="A28" s="10" t="s">
        <v>154</v>
      </c>
      <c r="B28" s="10" t="s">
        <v>155</v>
      </c>
      <c r="C28" s="10" t="s">
        <v>90</v>
      </c>
      <c r="D28" s="10" t="s">
        <v>156</v>
      </c>
      <c r="E28" s="10" t="s">
        <v>157</v>
      </c>
      <c r="F28" s="10" t="s">
        <v>60</v>
      </c>
    </row>
    <row r="29" customFormat="false" ht="23.85" hidden="false" customHeight="false" outlineLevel="0" collapsed="false">
      <c r="A29" s="10" t="s">
        <v>158</v>
      </c>
      <c r="B29" s="10" t="s">
        <v>159</v>
      </c>
      <c r="C29" s="10" t="s">
        <v>160</v>
      </c>
      <c r="D29" s="10" t="s">
        <v>161</v>
      </c>
      <c r="E29" s="10" t="s">
        <v>162</v>
      </c>
      <c r="F29" s="10" t="s">
        <v>60</v>
      </c>
    </row>
    <row r="30" customFormat="false" ht="35.05" hidden="false" customHeight="false" outlineLevel="0" collapsed="false">
      <c r="A30" s="10" t="s">
        <v>163</v>
      </c>
      <c r="B30" s="10" t="s">
        <v>159</v>
      </c>
      <c r="C30" s="10" t="s">
        <v>160</v>
      </c>
      <c r="D30" s="10" t="s">
        <v>164</v>
      </c>
      <c r="E30" s="10" t="s">
        <v>165</v>
      </c>
      <c r="F30" s="10" t="s">
        <v>64</v>
      </c>
    </row>
    <row r="31" customFormat="false" ht="23.85" hidden="false" customHeight="false" outlineLevel="0" collapsed="false">
      <c r="A31" s="10" t="s">
        <v>166</v>
      </c>
      <c r="B31" s="10" t="s">
        <v>167</v>
      </c>
      <c r="C31" s="10" t="s">
        <v>168</v>
      </c>
      <c r="D31" s="10" t="s">
        <v>169</v>
      </c>
      <c r="E31" s="10" t="s">
        <v>170</v>
      </c>
      <c r="F31" s="10" t="s">
        <v>60</v>
      </c>
    </row>
    <row r="32" customFormat="false" ht="23.85" hidden="false" customHeight="false" outlineLevel="0" collapsed="false">
      <c r="A32" s="10" t="s">
        <v>171</v>
      </c>
      <c r="B32" s="10" t="s">
        <v>167</v>
      </c>
      <c r="C32" s="10" t="s">
        <v>172</v>
      </c>
      <c r="D32" s="10" t="s">
        <v>173</v>
      </c>
      <c r="E32" s="10" t="s">
        <v>174</v>
      </c>
      <c r="F32" s="10" t="s">
        <v>60</v>
      </c>
    </row>
    <row r="33" customFormat="false" ht="15" hidden="false" customHeight="false" outlineLevel="0" collapsed="false">
      <c r="A33" s="10" t="s">
        <v>175</v>
      </c>
      <c r="B33" s="10" t="s">
        <v>167</v>
      </c>
      <c r="C33" s="10" t="s">
        <v>172</v>
      </c>
      <c r="D33" s="10" t="s">
        <v>176</v>
      </c>
      <c r="E33" s="10" t="s">
        <v>177</v>
      </c>
      <c r="F33" s="10" t="s">
        <v>68</v>
      </c>
    </row>
    <row r="34" customFormat="false" ht="23.85" hidden="false" customHeight="false" outlineLevel="0" collapsed="false">
      <c r="A34" s="10" t="s">
        <v>178</v>
      </c>
      <c r="B34" s="10" t="s">
        <v>167</v>
      </c>
      <c r="C34" s="10" t="s">
        <v>179</v>
      </c>
      <c r="D34" s="10" t="s">
        <v>180</v>
      </c>
      <c r="E34" s="10" t="s">
        <v>181</v>
      </c>
      <c r="F34" s="10" t="s">
        <v>64</v>
      </c>
    </row>
    <row r="35" customFormat="false" ht="23.85" hidden="false" customHeight="false" outlineLevel="0" collapsed="false">
      <c r="A35" s="10" t="s">
        <v>182</v>
      </c>
      <c r="B35" s="10" t="s">
        <v>167</v>
      </c>
      <c r="C35" s="10" t="s">
        <v>183</v>
      </c>
      <c r="D35" s="10" t="s">
        <v>184</v>
      </c>
      <c r="E35" s="10" t="s">
        <v>185</v>
      </c>
      <c r="F35" s="10" t="s">
        <v>64</v>
      </c>
    </row>
    <row r="36" customFormat="false" ht="35.05" hidden="false" customHeight="false" outlineLevel="0" collapsed="false">
      <c r="A36" s="10" t="s">
        <v>186</v>
      </c>
      <c r="B36" s="10" t="s">
        <v>187</v>
      </c>
      <c r="C36" s="10" t="s">
        <v>188</v>
      </c>
      <c r="D36" s="10" t="s">
        <v>189</v>
      </c>
      <c r="E36" s="10" t="s">
        <v>190</v>
      </c>
      <c r="F36" s="10" t="s">
        <v>60</v>
      </c>
    </row>
    <row r="37" customFormat="false" ht="23.85" hidden="false" customHeight="false" outlineLevel="0" collapsed="false">
      <c r="A37" s="10" t="s">
        <v>191</v>
      </c>
      <c r="B37" s="10" t="s">
        <v>187</v>
      </c>
      <c r="C37" s="10" t="s">
        <v>188</v>
      </c>
      <c r="D37" s="10" t="s">
        <v>192</v>
      </c>
      <c r="E37" s="10" t="s">
        <v>193</v>
      </c>
      <c r="F37" s="10" t="s">
        <v>60</v>
      </c>
    </row>
    <row r="38" customFormat="false" ht="23.85" hidden="false" customHeight="false" outlineLevel="0" collapsed="false">
      <c r="A38" s="10" t="s">
        <v>194</v>
      </c>
      <c r="B38" s="10" t="s">
        <v>187</v>
      </c>
      <c r="C38" s="10" t="s">
        <v>172</v>
      </c>
      <c r="D38" s="10" t="s">
        <v>195</v>
      </c>
      <c r="E38" s="10" t="s">
        <v>196</v>
      </c>
      <c r="F38" s="10" t="s">
        <v>64</v>
      </c>
    </row>
    <row r="39" customFormat="false" ht="15" hidden="false" customHeight="false" outlineLevel="0" collapsed="false">
      <c r="A39" s="10" t="s">
        <v>197</v>
      </c>
      <c r="B39" s="10" t="s">
        <v>187</v>
      </c>
      <c r="C39" s="10" t="s">
        <v>172</v>
      </c>
      <c r="D39" s="10" t="s">
        <v>198</v>
      </c>
      <c r="E39" s="10" t="s">
        <v>199</v>
      </c>
      <c r="F39" s="10" t="s">
        <v>64</v>
      </c>
    </row>
    <row r="40" customFormat="false" ht="15" hidden="false" customHeight="false" outlineLevel="0" collapsed="false">
      <c r="A40" s="10" t="s">
        <v>200</v>
      </c>
      <c r="B40" s="10" t="s">
        <v>187</v>
      </c>
      <c r="C40" s="10" t="s">
        <v>201</v>
      </c>
      <c r="D40" s="10" t="s">
        <v>202</v>
      </c>
      <c r="E40" s="10" t="s">
        <v>203</v>
      </c>
      <c r="F40" s="10" t="s">
        <v>60</v>
      </c>
    </row>
    <row r="41" customFormat="false" ht="15" hidden="false" customHeight="false" outlineLevel="0" collapsed="false">
      <c r="A41" s="10" t="s">
        <v>204</v>
      </c>
      <c r="B41" s="10" t="s">
        <v>187</v>
      </c>
      <c r="C41" s="10" t="s">
        <v>201</v>
      </c>
      <c r="D41" s="10" t="s">
        <v>205</v>
      </c>
      <c r="E41" s="10" t="s">
        <v>206</v>
      </c>
      <c r="F41" s="10" t="s">
        <v>64</v>
      </c>
    </row>
    <row r="42" customFormat="false" ht="15" hidden="false" customHeight="false" outlineLevel="0" collapsed="false">
      <c r="A42" s="10" t="s">
        <v>207</v>
      </c>
      <c r="B42" s="10" t="s">
        <v>187</v>
      </c>
      <c r="C42" s="10" t="s">
        <v>208</v>
      </c>
      <c r="D42" s="10" t="s">
        <v>209</v>
      </c>
      <c r="E42" s="10" t="s">
        <v>210</v>
      </c>
      <c r="F42" s="10" t="s">
        <v>68</v>
      </c>
    </row>
    <row r="43" customFormat="false" ht="23.85" hidden="false" customHeight="false" outlineLevel="0" collapsed="false">
      <c r="A43" s="10" t="s">
        <v>211</v>
      </c>
      <c r="B43" s="10" t="s">
        <v>187</v>
      </c>
      <c r="C43" s="10" t="s">
        <v>212</v>
      </c>
      <c r="D43" s="10" t="s">
        <v>213</v>
      </c>
      <c r="E43" s="10" t="s">
        <v>214</v>
      </c>
      <c r="F43" s="10" t="s">
        <v>64</v>
      </c>
    </row>
  </sheetData>
  <autoFilter ref="A2:F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6" min="5" style="0" width="55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7" t="s">
        <v>215</v>
      </c>
      <c r="B1" s="7" t="s">
        <v>216</v>
      </c>
      <c r="C1" s="7" t="s">
        <v>217</v>
      </c>
      <c r="D1" s="7" t="s">
        <v>218</v>
      </c>
      <c r="E1" s="7" t="s">
        <v>219</v>
      </c>
      <c r="F1" s="7" t="s">
        <v>220</v>
      </c>
      <c r="G1" s="7" t="s">
        <v>54</v>
      </c>
      <c r="H1" s="7" t="s">
        <v>221</v>
      </c>
      <c r="I1" s="7" t="s">
        <v>222</v>
      </c>
      <c r="J1" s="7" t="s">
        <v>223</v>
      </c>
    </row>
    <row r="2" customFormat="false" ht="15" hidden="false" customHeight="false" outlineLevel="0" collapsed="false">
      <c r="A2" s="8"/>
      <c r="B2" s="8" t="s">
        <v>224</v>
      </c>
      <c r="C2" s="8" t="s">
        <v>225</v>
      </c>
      <c r="D2" s="8"/>
      <c r="E2" s="8"/>
      <c r="F2" s="8"/>
      <c r="G2" s="8" t="n">
        <v>2</v>
      </c>
      <c r="H2" s="8"/>
      <c r="I2" s="8"/>
      <c r="J2" s="8" t="s">
        <v>226</v>
      </c>
    </row>
    <row r="3" customFormat="false" ht="15" hidden="false" customHeight="false" outlineLevel="0" collapsed="false">
      <c r="A3" s="8"/>
      <c r="B3" s="8"/>
      <c r="C3" s="8"/>
      <c r="D3" s="8" t="s">
        <v>227</v>
      </c>
      <c r="E3" s="8" t="s">
        <v>228</v>
      </c>
      <c r="F3" s="8" t="s">
        <v>229</v>
      </c>
      <c r="G3" s="8"/>
      <c r="H3" s="8"/>
      <c r="I3" s="8"/>
      <c r="J3" s="8"/>
    </row>
    <row r="4" customFormat="false" ht="15" hidden="false" customHeight="false" outlineLevel="0" collapsed="false">
      <c r="A4" s="8"/>
      <c r="B4" s="8"/>
      <c r="C4" s="8"/>
      <c r="D4" s="8" t="s">
        <v>230</v>
      </c>
      <c r="E4" s="8" t="s">
        <v>231</v>
      </c>
      <c r="F4" s="8"/>
      <c r="G4" s="8"/>
      <c r="H4" s="8"/>
      <c r="I4" s="8"/>
      <c r="J4" s="8"/>
    </row>
    <row r="5" customFormat="false" ht="23.85" hidden="false" customHeight="false" outlineLevel="0" collapsed="false">
      <c r="A5" s="8"/>
      <c r="B5" s="8"/>
      <c r="C5" s="8"/>
      <c r="D5" s="8" t="s">
        <v>232</v>
      </c>
      <c r="E5" s="8" t="s">
        <v>233</v>
      </c>
      <c r="F5" s="8" t="s">
        <v>234</v>
      </c>
      <c r="G5" s="8"/>
      <c r="H5" s="8"/>
      <c r="I5" s="8"/>
      <c r="J5" s="8"/>
    </row>
    <row r="6" customFormat="false" ht="15" hidden="false" customHeight="false" outlineLevel="0" collapsed="false">
      <c r="A6" s="8"/>
      <c r="B6" s="8"/>
      <c r="C6" s="8"/>
      <c r="D6" s="8" t="s">
        <v>235</v>
      </c>
      <c r="E6" s="8" t="s">
        <v>236</v>
      </c>
      <c r="F6" s="8" t="s">
        <v>237</v>
      </c>
      <c r="G6" s="8"/>
      <c r="H6" s="8"/>
      <c r="I6" s="8"/>
      <c r="J6" s="8"/>
    </row>
    <row r="7" customFormat="false" ht="15" hidden="false" customHeight="false" outlineLevel="0" collapsed="false">
      <c r="A7" s="8"/>
      <c r="B7" s="8" t="s">
        <v>224</v>
      </c>
      <c r="C7" s="8" t="s">
        <v>238</v>
      </c>
      <c r="D7" s="8"/>
      <c r="E7" s="8"/>
      <c r="F7" s="8"/>
      <c r="G7" s="8" t="n">
        <v>1</v>
      </c>
      <c r="H7" s="8"/>
      <c r="I7" s="8"/>
      <c r="J7" s="8" t="s">
        <v>226</v>
      </c>
    </row>
    <row r="8" customFormat="false" ht="15" hidden="false" customHeight="false" outlineLevel="0" collapsed="false">
      <c r="A8" s="8"/>
      <c r="B8" s="8"/>
      <c r="C8" s="8"/>
      <c r="D8" s="8" t="s">
        <v>227</v>
      </c>
      <c r="E8" s="8" t="s">
        <v>239</v>
      </c>
      <c r="F8" s="8" t="s">
        <v>240</v>
      </c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 t="s">
        <v>230</v>
      </c>
      <c r="E9" s="8" t="s">
        <v>241</v>
      </c>
      <c r="F9" s="8" t="s">
        <v>242</v>
      </c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 t="s">
        <v>232</v>
      </c>
      <c r="E10" s="8" t="s">
        <v>243</v>
      </c>
      <c r="F10" s="8" t="s">
        <v>242</v>
      </c>
      <c r="G10" s="8"/>
      <c r="H10" s="8"/>
      <c r="I10" s="8"/>
      <c r="J10" s="8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</row>
  </sheetData>
  <conditionalFormatting sqref="A2:J400">
    <cfRule type="expression" priority="2" aboveAverage="0" equalAverage="0" bottom="0" percent="0" rank="0" text="" dxfId="3">
      <formula>$B2="Test Case"</formula>
    </cfRule>
  </conditionalFormatting>
  <dataValidations count="2">
    <dataValidation allowBlank="true" errorStyle="stop" operator="between" showDropDown="false" showErrorMessage="false" showInputMessage="false" sqref="G2:G400" type="list">
      <formula1>"1,2,3,4"</formula1>
      <formula2>0</formula2>
    </dataValidation>
    <dataValidation allowBlank="true" errorStyle="stop" operator="between" showDropDown="false" showErrorMessage="false" showInputMessage="false" sqref="B2:B400" type="list">
      <formula1>"Test Case"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6" t="s">
        <v>245</v>
      </c>
    </row>
    <row r="3" customFormat="false" ht="15" hidden="false" customHeight="false" outlineLevel="0" collapsed="false">
      <c r="A3" s="7" t="s">
        <v>168</v>
      </c>
      <c r="B3" s="7" t="s">
        <v>246</v>
      </c>
      <c r="C3" s="7" t="s">
        <v>57</v>
      </c>
      <c r="D3" s="7" t="s">
        <v>71</v>
      </c>
      <c r="E3" s="7" t="s">
        <v>247</v>
      </c>
      <c r="F3" s="7" t="s">
        <v>248</v>
      </c>
      <c r="G3" s="7" t="s">
        <v>249</v>
      </c>
    </row>
    <row r="4" customFormat="false" ht="15" hidden="false" customHeight="false" outlineLevel="0" collapsed="false">
      <c r="A4" s="11" t="s">
        <v>250</v>
      </c>
      <c r="B4" s="11" t="s">
        <v>251</v>
      </c>
      <c r="C4" s="11" t="s">
        <v>251</v>
      </c>
      <c r="D4" s="11" t="s">
        <v>251</v>
      </c>
      <c r="E4" s="11" t="n">
        <f aca="false">COUNTIFS('Azure Import'!$B$2:$B$400,"Test Case",'Azure Import'!$C$2:$C$400,"P0 -*")</f>
        <v>0</v>
      </c>
      <c r="F4" s="11" t="s">
        <v>251</v>
      </c>
      <c r="G4" s="11" t="str">
        <f aca="false">IF(E4=0,"Add end-to-end tests","OK")</f>
        <v>Add end-to-end tests</v>
      </c>
    </row>
    <row r="5" customFormat="false" ht="15" hidden="false" customHeight="false" outlineLevel="0" collapsed="false">
      <c r="A5" s="11" t="n">
        <v>1</v>
      </c>
      <c r="B5" s="11" t="n">
        <f aca="false">COUNTIF('Form Map'!$A$4:$A$103,1)</f>
        <v>1</v>
      </c>
      <c r="C5" s="11" t="n">
        <f aca="false">COUNTIFS('Form Map'!$A$4:$A$103,1,'Form Map'!$E$4:$E$103,"Yes")</f>
        <v>1</v>
      </c>
      <c r="D5" s="11" t="n">
        <f aca="false">B5-C5</f>
        <v>0</v>
      </c>
      <c r="E5" s="11" t="n">
        <f aca="false">COUNTIFS('Azure Import'!$B$2:$B$400,"Test Case",'Azure Import'!$C$2:$C$400,"P1 -*")</f>
        <v>2</v>
      </c>
      <c r="F5" s="11" t="n">
        <f aca="false">IF(B5=0,"-",ROUND(E5/B5,1))</f>
        <v>2</v>
      </c>
      <c r="G5" s="11" t="str">
        <f aca="false">IF(B5=0,"-",IF(E5&lt;B5+C5,"Needs more tests","OK"))</f>
        <v>OK</v>
      </c>
    </row>
    <row r="6" customFormat="false" ht="15" hidden="false" customHeight="false" outlineLevel="0" collapsed="false">
      <c r="A6" s="11" t="n">
        <v>2</v>
      </c>
      <c r="B6" s="11" t="n">
        <f aca="false">COUNTIF('Form Map'!$A$4:$A$103,2)</f>
        <v>0</v>
      </c>
      <c r="C6" s="11" t="n">
        <f aca="false">COUNTIFS('Form Map'!$A$4:$A$103,2,'Form Map'!$E$4:$E$103,"Yes")</f>
        <v>0</v>
      </c>
      <c r="D6" s="11" t="n">
        <f aca="false">B6-C6</f>
        <v>0</v>
      </c>
      <c r="E6" s="11" t="n">
        <f aca="false">COUNTIFS('Azure Import'!$B$2:$B$400,"Test Case",'Azure Import'!$C$2:$C$400,"P2 -*")</f>
        <v>0</v>
      </c>
      <c r="F6" s="11" t="str">
        <f aca="false">IF(B6=0,"-",ROUND(E6/B6,1))</f>
        <v>-</v>
      </c>
      <c r="G6" s="11" t="str">
        <f aca="false">IF(B6=0,"-",IF(E6&lt;B6+C6,"Needs more tests","OK"))</f>
        <v>-</v>
      </c>
    </row>
    <row r="7" customFormat="false" ht="15" hidden="false" customHeight="false" outlineLevel="0" collapsed="false">
      <c r="A7" s="11" t="n">
        <v>3</v>
      </c>
      <c r="B7" s="11" t="n">
        <f aca="false">COUNTIF('Form Map'!$A$4:$A$103,3)</f>
        <v>0</v>
      </c>
      <c r="C7" s="11" t="n">
        <f aca="false">COUNTIFS('Form Map'!$A$4:$A$103,3,'Form Map'!$E$4:$E$103,"Yes")</f>
        <v>0</v>
      </c>
      <c r="D7" s="11" t="n">
        <f aca="false">B7-C7</f>
        <v>0</v>
      </c>
      <c r="E7" s="11" t="n">
        <f aca="false">COUNTIFS('Azure Import'!$B$2:$B$400,"Test Case",'Azure Import'!$C$2:$C$400,"P3 -*")</f>
        <v>0</v>
      </c>
      <c r="F7" s="11" t="str">
        <f aca="false">IF(B7=0,"-",ROUND(E7/B7,1))</f>
        <v>-</v>
      </c>
      <c r="G7" s="11" t="str">
        <f aca="false">IF(B7=0,"-",IF(E7&lt;B7+C7,"Needs more tests","OK"))</f>
        <v>-</v>
      </c>
    </row>
    <row r="8" customFormat="false" ht="15" hidden="false" customHeight="false" outlineLevel="0" collapsed="false">
      <c r="A8" s="11" t="n">
        <v>4</v>
      </c>
      <c r="B8" s="11" t="n">
        <f aca="false">COUNTIF('Form Map'!$A$4:$A$103,4)</f>
        <v>0</v>
      </c>
      <c r="C8" s="11" t="n">
        <f aca="false">COUNTIFS('Form Map'!$A$4:$A$103,4,'Form Map'!$E$4:$E$103,"Yes")</f>
        <v>0</v>
      </c>
      <c r="D8" s="11" t="n">
        <f aca="false">B8-C8</f>
        <v>0</v>
      </c>
      <c r="E8" s="11" t="n">
        <f aca="false">COUNTIFS('Azure Import'!$B$2:$B$400,"Test Case",'Azure Import'!$C$2:$C$400,"P4 -*")</f>
        <v>0</v>
      </c>
      <c r="F8" s="11" t="str">
        <f aca="false">IF(B8=0,"-",ROUND(E8/B8,1))</f>
        <v>-</v>
      </c>
      <c r="G8" s="11" t="str">
        <f aca="false">IF(B8=0,"-",IF(E8&lt;B8+C8,"Needs more tests","OK"))</f>
        <v>-</v>
      </c>
    </row>
    <row r="9" customFormat="false" ht="15" hidden="false" customHeight="false" outlineLevel="0" collapsed="false">
      <c r="A9" s="11" t="n">
        <v>5</v>
      </c>
      <c r="B9" s="11" t="n">
        <f aca="false">COUNTIF('Form Map'!$A$4:$A$103,5)</f>
        <v>0</v>
      </c>
      <c r="C9" s="11" t="n">
        <f aca="false">COUNTIFS('Form Map'!$A$4:$A$103,5,'Form Map'!$E$4:$E$103,"Yes")</f>
        <v>0</v>
      </c>
      <c r="D9" s="11" t="n">
        <f aca="false">B9-C9</f>
        <v>0</v>
      </c>
      <c r="E9" s="11" t="n">
        <f aca="false">COUNTIFS('Azure Import'!$B$2:$B$400,"Test Case",'Azure Import'!$C$2:$C$400,"P5 -*")</f>
        <v>0</v>
      </c>
      <c r="F9" s="11" t="str">
        <f aca="false">IF(B9=0,"-",ROUND(E9/B9,1))</f>
        <v>-</v>
      </c>
      <c r="G9" s="11" t="str">
        <f aca="false">IF(B9=0,"-",IF(E9&lt;B9+C9,"Needs more tests","OK"))</f>
        <v>-</v>
      </c>
    </row>
    <row r="10" customFormat="false" ht="15" hidden="false" customHeight="false" outlineLevel="0" collapsed="false">
      <c r="A10" s="11" t="n">
        <v>6</v>
      </c>
      <c r="B10" s="11" t="n">
        <f aca="false">COUNTIF('Form Map'!$A$4:$A$103,6)</f>
        <v>0</v>
      </c>
      <c r="C10" s="11" t="n">
        <f aca="false">COUNTIFS('Form Map'!$A$4:$A$103,6,'Form Map'!$E$4:$E$103,"Yes")</f>
        <v>0</v>
      </c>
      <c r="D10" s="11" t="n">
        <f aca="false">B10-C10</f>
        <v>0</v>
      </c>
      <c r="E10" s="11" t="n">
        <f aca="false">COUNTIFS('Azure Import'!$B$2:$B$400,"Test Case",'Azure Import'!$C$2:$C$400,"P6 -*")</f>
        <v>0</v>
      </c>
      <c r="F10" s="11" t="str">
        <f aca="false">IF(B10=0,"-",ROUND(E10/B10,1))</f>
        <v>-</v>
      </c>
      <c r="G10" s="11" t="str">
        <f aca="false">IF(B10=0,"-",IF(E10&lt;B10+C10,"Needs more tests","OK"))</f>
        <v>-</v>
      </c>
    </row>
    <row r="11" customFormat="false" ht="15" hidden="false" customHeight="false" outlineLevel="0" collapsed="false">
      <c r="A11" s="11" t="n">
        <v>7</v>
      </c>
      <c r="B11" s="11" t="n">
        <f aca="false">COUNTIF('Form Map'!$A$4:$A$103,7)</f>
        <v>0</v>
      </c>
      <c r="C11" s="11" t="n">
        <f aca="false">COUNTIFS('Form Map'!$A$4:$A$103,7,'Form Map'!$E$4:$E$103,"Yes")</f>
        <v>0</v>
      </c>
      <c r="D11" s="11" t="n">
        <f aca="false">B11-C11</f>
        <v>0</v>
      </c>
      <c r="E11" s="11" t="n">
        <f aca="false">COUNTIFS('Azure Import'!$B$2:$B$400,"Test Case",'Azure Import'!$C$2:$C$400,"P7 -*")</f>
        <v>0</v>
      </c>
      <c r="F11" s="11" t="str">
        <f aca="false">IF(B11=0,"-",ROUND(E11/B11,1))</f>
        <v>-</v>
      </c>
      <c r="G11" s="11" t="str">
        <f aca="false">IF(B11=0,"-",IF(E11&lt;B11+C11,"Needs more tests","OK"))</f>
        <v>-</v>
      </c>
    </row>
    <row r="12" customFormat="false" ht="15" hidden="false" customHeight="false" outlineLevel="0" collapsed="false">
      <c r="A12" s="11" t="n">
        <v>8</v>
      </c>
      <c r="B12" s="11" t="n">
        <f aca="false">COUNTIF('Form Map'!$A$4:$A$103,8)</f>
        <v>0</v>
      </c>
      <c r="C12" s="11" t="n">
        <f aca="false">COUNTIFS('Form Map'!$A$4:$A$103,8,'Form Map'!$E$4:$E$103,"Yes")</f>
        <v>0</v>
      </c>
      <c r="D12" s="11" t="n">
        <f aca="false">B12-C12</f>
        <v>0</v>
      </c>
      <c r="E12" s="11" t="n">
        <f aca="false">COUNTIFS('Azure Import'!$B$2:$B$400,"Test Case",'Azure Import'!$C$2:$C$400,"P8 -*")</f>
        <v>0</v>
      </c>
      <c r="F12" s="11" t="str">
        <f aca="false">IF(B12=0,"-",ROUND(E12/B12,1))</f>
        <v>-</v>
      </c>
      <c r="G12" s="11" t="str">
        <f aca="false">IF(B12=0,"-",IF(E12&lt;B12+C12,"Needs more tests","OK"))</f>
        <v>-</v>
      </c>
    </row>
    <row r="13" customFormat="false" ht="15" hidden="false" customHeight="false" outlineLevel="0" collapsed="false">
      <c r="A13" s="11" t="n">
        <v>9</v>
      </c>
      <c r="B13" s="11" t="n">
        <f aca="false">COUNTIF('Form Map'!$A$4:$A$103,9)</f>
        <v>0</v>
      </c>
      <c r="C13" s="11" t="n">
        <f aca="false">COUNTIFS('Form Map'!$A$4:$A$103,9,'Form Map'!$E$4:$E$103,"Yes")</f>
        <v>0</v>
      </c>
      <c r="D13" s="11" t="n">
        <f aca="false">B13-C13</f>
        <v>0</v>
      </c>
      <c r="E13" s="11" t="n">
        <f aca="false">COUNTIFS('Azure Import'!$B$2:$B$400,"Test Case",'Azure Import'!$C$2:$C$400,"P9 -*")</f>
        <v>0</v>
      </c>
      <c r="F13" s="11" t="str">
        <f aca="false">IF(B13=0,"-",ROUND(E13/B13,1))</f>
        <v>-</v>
      </c>
      <c r="G13" s="11" t="str">
        <f aca="false">IF(B13=0,"-",IF(E13&lt;B13+C13,"Needs more tests","OK"))</f>
        <v>-</v>
      </c>
    </row>
    <row r="14" customFormat="false" ht="15" hidden="false" customHeight="false" outlineLevel="0" collapsed="false">
      <c r="A14" s="11" t="n">
        <v>10</v>
      </c>
      <c r="B14" s="11" t="n">
        <f aca="false">COUNTIF('Form Map'!$A$4:$A$103,10)</f>
        <v>0</v>
      </c>
      <c r="C14" s="11" t="n">
        <f aca="false">COUNTIFS('Form Map'!$A$4:$A$103,10,'Form Map'!$E$4:$E$103,"Yes")</f>
        <v>0</v>
      </c>
      <c r="D14" s="11" t="n">
        <f aca="false">B14-C14</f>
        <v>0</v>
      </c>
      <c r="E14" s="11" t="n">
        <f aca="false">COUNTIFS('Azure Import'!$B$2:$B$400,"Test Case",'Azure Import'!$C$2:$C$400,"P10 -*")</f>
        <v>0</v>
      </c>
      <c r="F14" s="11" t="str">
        <f aca="false">IF(B14=0,"-",ROUND(E14/B14,1))</f>
        <v>-</v>
      </c>
      <c r="G14" s="11" t="str">
        <f aca="false">IF(B14=0,"-",IF(E14&lt;B14+C14,"Needs more tests","OK"))</f>
        <v>-</v>
      </c>
    </row>
    <row r="15" customFormat="false" ht="15" hidden="false" customHeight="false" outlineLevel="0" collapsed="false">
      <c r="A15" s="4" t="s">
        <v>252</v>
      </c>
      <c r="B15" s="12" t="n">
        <f aca="false">SUM(B4:B14)</f>
        <v>1</v>
      </c>
      <c r="C15" s="12" t="n">
        <f aca="false">SUM(C4:C14)</f>
        <v>1</v>
      </c>
      <c r="D15" s="12" t="n">
        <f aca="false">SUM(D4:D14)</f>
        <v>0</v>
      </c>
      <c r="E15" s="12" t="n">
        <f aca="false">SUM(E4:E14)</f>
        <v>2</v>
      </c>
    </row>
    <row r="17" customFormat="false" ht="15" hidden="false" customHeight="false" outlineLevel="0" collapsed="false">
      <c r="A17" s="6" t="s">
        <v>253</v>
      </c>
    </row>
  </sheetData>
  <conditionalFormatting sqref="G4:G14">
    <cfRule type="expression" priority="2" aboveAverage="0" equalAverage="0" bottom="0" percent="0" rank="0" text="" dxfId="4">
      <formula>G4="Needs more tests"</formula>
    </cfRule>
    <cfRule type="expression" priority="3" aboveAverage="0" equalAverage="0" bottom="0" percent="0" rank="0" text="" dxfId="5">
      <formula>G4="OK"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254</v>
      </c>
      <c r="B1" s="0" t="s">
        <v>40</v>
      </c>
      <c r="C1" s="0" t="s">
        <v>60</v>
      </c>
    </row>
    <row r="2" customFormat="false" ht="15" hidden="false" customHeight="false" outlineLevel="0" collapsed="false">
      <c r="A2" s="0" t="s">
        <v>255</v>
      </c>
      <c r="B2" s="0" t="s">
        <v>256</v>
      </c>
      <c r="C2" s="0" t="s">
        <v>64</v>
      </c>
    </row>
    <row r="3" customFormat="false" ht="15" hidden="false" customHeight="false" outlineLevel="0" collapsed="false">
      <c r="A3" s="0" t="s">
        <v>98</v>
      </c>
      <c r="C3" s="0" t="s">
        <v>68</v>
      </c>
    </row>
    <row r="4" customFormat="false" ht="15" hidden="false" customHeight="false" outlineLevel="0" collapsed="false">
      <c r="A4" s="0" t="s">
        <v>39</v>
      </c>
      <c r="C4" s="0" t="s">
        <v>96</v>
      </c>
    </row>
    <row r="5" customFormat="false" ht="15" hidden="false" customHeight="false" outlineLevel="0" collapsed="false">
      <c r="A5" s="0" t="s">
        <v>113</v>
      </c>
    </row>
    <row r="6" customFormat="false" ht="15" hidden="false" customHeight="false" outlineLevel="0" collapsed="false">
      <c r="A6" s="0" t="s">
        <v>120</v>
      </c>
    </row>
    <row r="7" customFormat="false" ht="15" hidden="false" customHeight="false" outlineLevel="0" collapsed="false">
      <c r="A7" s="0" t="s">
        <v>127</v>
      </c>
    </row>
    <row r="8" customFormat="false" ht="15" hidden="false" customHeight="false" outlineLevel="0" collapsed="false">
      <c r="A8" s="0" t="s">
        <v>139</v>
      </c>
    </row>
    <row r="9" customFormat="false" ht="15" hidden="false" customHeight="false" outlineLevel="0" collapsed="false">
      <c r="A9" s="0" t="s">
        <v>257</v>
      </c>
    </row>
    <row r="10" customFormat="false" ht="15" hidden="false" customHeight="false" outlineLevel="0" collapsed="false">
      <c r="A10" s="0" t="s">
        <v>143</v>
      </c>
    </row>
    <row r="11" customFormat="false" ht="15" hidden="false" customHeight="false" outlineLevel="0" collapsed="false">
      <c r="A11" s="0" t="s">
        <v>147</v>
      </c>
    </row>
    <row r="12" customFormat="false" ht="15" hidden="false" customHeight="false" outlineLevel="0" collapsed="false">
      <c r="A12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2026-10-13T09:39:31Z</dcterms:created>
  <dc:creator>openpyxl</dc:creator>
  <dc:description/>
  <dc:language>en-US</dc:language>
  <cp:lastModifiedBy/>
  <dcterms:modified xsi:type="dcterms:W3CDTF">2026-10-13T09:39:31Z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